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_HUL" sheetId="1" state="visible" r:id="rId3"/>
    <sheet name="Raw_Data_PG" sheetId="2" state="visible" r:id="rId4"/>
    <sheet name="Ratios_Comparison" sheetId="3" state="visible" r:id="rId5"/>
    <sheet name="Standards_Differen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<sst xmlns="http://schemas.openxmlformats.org/spreadsheetml/2006/main" count="105" uniqueCount="87">
  <si>
    <t xml:space="preserve">Hindustan Unilever Ltd — Raw Financial Data (Ind AS), FY2021-FY2025</t>
  </si>
  <si>
    <t xml:space="preserve">Source: Company annual reports / consolidated filings (BSE/NSE) — Rs in Crores, fiscal year ended 31 March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</si>
  <si>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</si>
  <si>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</si>
  <si>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</si>
  <si>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</si>
  <si>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</si>
  <si>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</si>
  <si>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INCOME STATEMENT</t>
  </si>
  <si>
    <t xml:space="preserve">Revenue</t>
  </si>
  <si>
    <t xml:space="preserve">Operating Profit</t>
  </si>
  <si>
    <t xml:space="preserve">Net Profit</t>
  </si>
  <si>
    <t xml:space="preserve">BALANCE SHEET</t>
  </si>
  <si>
    <t xml:space="preserve">Inventory</t>
  </si>
  <si>
    <t xml:space="preserve">Total Current Assets</t>
  </si>
  <si>
    <t xml:space="preserve">Total Assets</t>
  </si>
  <si>
    <t xml:space="preserve">Total Current Liabilities</t>
  </si>
  <si>
    <t xml:space="preserve">Total Liabilities (excl. equity)</t>
  </si>
  <si>
    <t xml:space="preserve">Total Shareholders' Equity</t>
  </si>
  <si>
    <t xml:space="preserve">CASH FLOW STATEMENT</t>
  </si>
  <si>
    <t xml:space="preserve">Operating Cash Flow</t>
  </si>
  <si>
    <t xml:space="preserve">Free Cash Flow</t>
  </si>
  <si>
    <t xml:space="preserve">Note: Total Liabilities (excl. equity) = Total Assets - Total Shareholders' Equity, for internal balance-sheet consistency across aggregator sources.</t>
  </si>
  <si>
    <t xml:space="preserve">Inventory valuation: HUL follows Ind AS 2, which permits FIFO or weighted-average cost; LIFO is prohibited under Ind AS.</t>
  </si>
  <si>
    <t xml:space="preserve">Procter &amp; Gamble Co. — Raw Financial Data (US GAAP), FY2021-FY2025</t>
  </si>
  <si>
    <t xml:space="preserve">Source: P&amp;G Form 10-K filings, SEC EDGAR (CIK 0000080424) — $ in Millions, fiscal year ended 30 June</t>
  </si>
  <si>
    <t xml:space="preserve">Gross Profit</t>
  </si>
  <si>
    <t xml:space="preserve">Operating Income</t>
  </si>
  <si>
    <t xml:space="preserve">Net Income</t>
  </si>
  <si>
    <t xml:space="preserve">Note: Operating Income figures are from P&amp;G's official Annual Report Financial Highlights (rounded to nearest $0.1B).</t>
  </si>
  <si>
    <t xml:space="preserve">Inventory valuation: P&amp;G's 10-K states product-related inventories are primarily FIFO, with minor amounts (certain cosmetics/commodities) on LIFO. Spare parts use average-cost.</t>
  </si>
  <si>
    <t xml:space="preserve">US GAAP vs Ind AS — Ratio Comparison: Hindustan Unilever vs Procter &amp; Gamble</t>
  </si>
  <si>
    <t xml:space="preserve">Ratios computed independently within each company's native currency/standard — cross-company values compare shape, not absolute scale.</t>
  </si>
  <si>
    <t xml:space="preserve">Ratio</t>
  </si>
  <si>
    <t xml:space="preserve">HUL FY2021</t>
  </si>
  <si>
    <t xml:space="preserve">HUL FY2022</t>
  </si>
  <si>
    <t xml:space="preserve">HUL FY2023</t>
  </si>
  <si>
    <t xml:space="preserve">HUL FY2024</t>
  </si>
  <si>
    <t xml:space="preserve">HUL FY2025</t>
  </si>
  <si>
    <t xml:space="preserve">P&amp;G FY2021</t>
  </si>
  <si>
    <t xml:space="preserve">P&amp;G FY2022</t>
  </si>
  <si>
    <t xml:space="preserve">P&amp;G FY2023</t>
  </si>
  <si>
    <t xml:space="preserve">P&amp;G FY2024</t>
  </si>
  <si>
    <t xml:space="preserve">P&amp;G FY2025</t>
  </si>
  <si>
    <t xml:space="preserve">LIQUIDITY</t>
  </si>
  <si>
    <t xml:space="preserve">Current Ratio</t>
  </si>
  <si>
    <t xml:space="preserve">PROFITABILITY</t>
  </si>
  <si>
    <t xml:space="preserve">Operating Margin</t>
  </si>
  <si>
    <t xml:space="preserve">Net Margin</t>
  </si>
  <si>
    <t xml:space="preserve">Return on Assets (ROA)</t>
  </si>
  <si>
    <t xml:space="preserve">Return on Equity (ROE)</t>
  </si>
  <si>
    <t xml:space="preserve">LEVERAGE / SOLVENCY</t>
  </si>
  <si>
    <t xml:space="preserve">Debt-to-Equity (Total Liabilities / Equity)</t>
  </si>
  <si>
    <t xml:space="preserve">Equity Ratio (Equity / Total Assets)</t>
  </si>
  <si>
    <t xml:space="preserve">EFFICIENCY</t>
  </si>
  <si>
    <t xml:space="preserve">Asset Turnover (Revenue / Total Assets)</t>
  </si>
  <si>
    <t xml:space="preserve">CASH FLOW</t>
  </si>
  <si>
    <t xml:space="preserve">Free Cash Flow Margin (FCF / Revenue)</t>
  </si>
  <si>
    <t xml:space="preserve">Operating Cash Flow Ratio (OCF / Current Liabilities)</t>
  </si>
  <si>
    <t xml:space="preserve">All ratios calculated directly from Raw_Data_HUL and Raw_Data_PG — update figures there and these recalculate automatically.</t>
  </si>
  <si>
    <t xml:space="preserve">US GAAP vs Ind AS — Key Accounting Standards Differences (FMCG Context)</t>
  </si>
  <si>
    <t xml:space="preserve">Qualitative reference table — supports interpretation of the ratio comparison, not a line-by-line restatement.</t>
  </si>
  <si>
    <t xml:space="preserve">Topic</t>
  </si>
  <si>
    <t xml:space="preserve">US GAAP (P&amp;G)</t>
  </si>
  <si>
    <t xml:space="preserve">Ind AS (HUL)</t>
  </si>
  <si>
    <t xml:space="preserve">Practical Impact</t>
  </si>
  <si>
    <t xml:space="preserve">Revenue Recognition</t>
  </si>
  <si>
    <t xml:space="preserve">ASC 606: revenue recognized at a single point in time when control transfers; trade/volume discounts and returns recorded as reduction of sales.</t>
  </si>
  <si>
    <t xml:space="preserve">Ind AS 115: substantially converged with ASC 606 — revenue recognized when control transfers; discounts/rebates also net against revenue.</t>
  </si>
  <si>
    <t xml:space="preserve">Largely converged post-2018 (ASC 606 / Ind AS 115 both IFRS-15-based) — minimal practical divergence for FMCG revenue timing.</t>
  </si>
  <si>
    <t xml:space="preserve">Inventory Valuation</t>
  </si>
  <si>
    <t xml:space="preserve">ASC 330: lower of cost or market (or NRV); FIFO, LIFO, or average cost all permitted. P&amp;G's 10-K confirms primarily FIFO, with minor LIFO for select items.</t>
  </si>
  <si>
    <t xml:space="preserve">Ind AS 2: lower of cost and net realizable value; FIFO or weighted-average permitted. LIFO is explicitly prohibited.</t>
  </si>
  <si>
    <t xml:space="preserve">P&amp;G's own disclosed practice (mostly FIFO) means real-world divergence from HUL is smaller than the standards permit in theory.</t>
  </si>
  <si>
    <t xml:space="preserve">Lease Accounting</t>
  </si>
  <si>
    <t xml:space="preserve">ASC 842: lessee recognizes right-of-use asset and lease liability for most leases (operating and finance) on balance sheet.</t>
  </si>
  <si>
    <t xml:space="preserve">Ind AS 116: same core model as ASC 842 — right-of-use asset and lease liability recognized for nearly all leases.</t>
  </si>
  <si>
    <t xml:space="preserve">Both standards converged around 2019; minor differences remain in short-term/low-value lease exemption thresholds and discount rate guidance.</t>
  </si>
  <si>
    <t xml:space="preserve">Property, Plant &amp; Equipment</t>
  </si>
  <si>
    <t xml:space="preserve">ASC 360: PP&amp;E carried at historical cost less accumulated depreciation; revaluation to fair value is NOT permitted.</t>
  </si>
  <si>
    <t xml:space="preserve">Ind AS 16: allows a choice between the cost model and the revaluation model (fair value with periodic revaluation).</t>
  </si>
  <si>
    <t xml:space="preserve">If HUL elected revaluation for any asset class, its PP&amp;E carrying values and depreciation charge would not be directly comparable to P&amp;G's cost-only figures without restatement.</t>
  </si>
  <si>
    <t xml:space="preserve">Goodwill Treatment</t>
  </si>
  <si>
    <t xml:space="preserve">ASC 350: goodwill is not amortized; tested for impairment at least annually.</t>
  </si>
  <si>
    <t xml:space="preserve">Ind AS 103 / Ind AS 36: goodwill also not amortized under current Ind AS (aligned with IFRS 3); tested for impairment annually.</t>
  </si>
  <si>
    <t xml:space="preserve">Converged since Ind AS adoption — both companies expense goodwill only through impairment charges, not systematic amortization.</t>
  </si>
  <si>
    <t xml:space="preserve">Sources: P&amp;G Form 10-K (SEC EDGAR); HUL Annual Reports; ICAI Ind AS standards text; FASB ASC codification.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</si>
</sst>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\x;\(0.00&quot;x)&quot;;\-"/>
    <numFmt numFmtId="167" formatCode="0.0%;\(0.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3D"/>
        <bgColor rgb="FF00808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6" customFormat="false" ht="15" hidden="false" customHeight="false" outlineLevel="0" collapsed="false">
      <c r="A6" s="4" t="s">
        <v>8</v>
      </c>
    </row>
    <row r="7" customFormat="false" ht="15" hidden="false" customHeight="false" outlineLevel="0" collapsed="false">
      <c r="A7" s="5" t="s">
        <v>9</v>
      </c>
      <c r="B7" s="6" t="n">
        <v>47028</v>
      </c>
      <c r="C7" s="6" t="n">
        <v>52446</v>
      </c>
      <c r="D7" s="6" t="n">
        <v>60580</v>
      </c>
      <c r="E7" s="6" t="n">
        <v>61896</v>
      </c>
      <c r="F7" s="6" t="n">
        <v>61328</v>
      </c>
    </row>
    <row r="8" customFormat="false" ht="15" hidden="false" customHeight="false" outlineLevel="0" collapsed="false">
      <c r="A8" s="5" t="s">
        <v>10</v>
      </c>
      <c r="B8" s="6" t="n">
        <v>11626</v>
      </c>
      <c r="C8" s="6" t="n">
        <v>12857</v>
      </c>
      <c r="D8" s="6" t="n">
        <v>14147</v>
      </c>
      <c r="E8" s="6" t="n">
        <v>14659</v>
      </c>
      <c r="F8" s="6" t="n">
        <v>14698</v>
      </c>
    </row>
    <row r="9" customFormat="false" ht="15" hidden="false" customHeight="false" outlineLevel="0" collapsed="false">
      <c r="A9" s="5" t="s">
        <v>11</v>
      </c>
      <c r="B9" s="6" t="n">
        <v>7999</v>
      </c>
      <c r="C9" s="6" t="n">
        <v>8892</v>
      </c>
      <c r="D9" s="6" t="n">
        <v>10143</v>
      </c>
      <c r="E9" s="6" t="n">
        <v>10282</v>
      </c>
      <c r="F9" s="6" t="n">
        <v>10671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5" t="s">
        <v>13</v>
      </c>
      <c r="B12" s="6" t="n">
        <v>3579</v>
      </c>
      <c r="C12" s="6" t="n">
        <v>4096</v>
      </c>
      <c r="D12" s="6" t="n">
        <v>4251</v>
      </c>
      <c r="E12" s="6" t="n">
        <v>4022</v>
      </c>
      <c r="F12" s="6" t="n">
        <v>4415</v>
      </c>
    </row>
    <row r="13" customFormat="false" ht="15" hidden="false" customHeight="false" outlineLevel="0" collapsed="false">
      <c r="A13" s="5" t="s">
        <v>14</v>
      </c>
      <c r="B13" s="6" t="n">
        <v>14217</v>
      </c>
      <c r="C13" s="6" t="n">
        <v>15522</v>
      </c>
      <c r="D13" s="6" t="n">
        <v>16998</v>
      </c>
      <c r="E13" s="6" t="n">
        <v>21324</v>
      </c>
      <c r="F13" s="6" t="n">
        <v>22051</v>
      </c>
    </row>
    <row r="14" customFormat="false" ht="15" hidden="false" customHeight="false" outlineLevel="0" collapsed="false">
      <c r="A14" s="5" t="s">
        <v>15</v>
      </c>
      <c r="B14" s="6" t="n">
        <v>68740</v>
      </c>
      <c r="C14" s="6" t="n">
        <v>70506</v>
      </c>
      <c r="D14" s="6" t="n">
        <v>73077</v>
      </c>
      <c r="E14" s="6" t="n">
        <v>78489</v>
      </c>
      <c r="F14" s="6" t="n">
        <v>79863</v>
      </c>
    </row>
    <row r="15" customFormat="false" ht="15" hidden="false" customHeight="false" outlineLevel="0" collapsed="false">
      <c r="A15" s="5" t="s">
        <v>16</v>
      </c>
      <c r="B15" s="6" t="n">
        <v>11103</v>
      </c>
      <c r="C15" s="6" t="n">
        <v>11280</v>
      </c>
      <c r="D15" s="6" t="n">
        <v>12028</v>
      </c>
      <c r="E15" s="6" t="n">
        <v>12879</v>
      </c>
      <c r="F15" s="6" t="n">
        <v>16537</v>
      </c>
    </row>
    <row r="16" customFormat="false" ht="15" hidden="false" customHeight="false" outlineLevel="0" collapsed="false">
      <c r="A16" s="5" t="s">
        <v>17</v>
      </c>
      <c r="B16" s="6" t="n">
        <v>21066</v>
      </c>
      <c r="C16" s="6" t="n">
        <v>21445</v>
      </c>
      <c r="D16" s="6" t="n">
        <v>22773</v>
      </c>
      <c r="E16" s="6" t="n">
        <v>27271</v>
      </c>
      <c r="F16" s="6" t="n">
        <v>30461</v>
      </c>
    </row>
    <row r="17" customFormat="false" ht="15" hidden="false" customHeight="false" outlineLevel="0" collapsed="false">
      <c r="A17" s="5" t="s">
        <v>18</v>
      </c>
      <c r="B17" s="6" t="n">
        <v>47674</v>
      </c>
      <c r="C17" s="6" t="n">
        <v>49061</v>
      </c>
      <c r="D17" s="6" t="n">
        <v>50304</v>
      </c>
      <c r="E17" s="6" t="n">
        <v>51218</v>
      </c>
      <c r="F17" s="6" t="n">
        <v>49402</v>
      </c>
    </row>
    <row r="19" customFormat="false" ht="15" hidden="false" customHeight="false" outlineLevel="0" collapsed="false">
      <c r="A19" s="4" t="s">
        <v>19</v>
      </c>
    </row>
    <row r="20" customFormat="false" ht="15" hidden="false" customHeight="false" outlineLevel="0" collapsed="false">
      <c r="A20" s="5" t="s">
        <v>20</v>
      </c>
      <c r="B20" s="6" t="n">
        <v>9163</v>
      </c>
      <c r="C20" s="6" t="n">
        <v>9048</v>
      </c>
      <c r="D20" s="6" t="n">
        <v>9991</v>
      </c>
      <c r="E20" s="6" t="n">
        <v>15469</v>
      </c>
      <c r="F20" s="6" t="n">
        <v>11886</v>
      </c>
    </row>
    <row r="21" customFormat="false" ht="15" hidden="false" customHeight="false" outlineLevel="0" collapsed="false">
      <c r="A21" s="5" t="s">
        <v>21</v>
      </c>
      <c r="B21" s="6" t="n">
        <v>5097</v>
      </c>
      <c r="C21" s="6" t="n">
        <v>7995</v>
      </c>
      <c r="D21" s="6" t="n">
        <v>8980</v>
      </c>
      <c r="E21" s="6" t="n">
        <v>14012</v>
      </c>
      <c r="F21" s="6" t="n">
        <v>10624</v>
      </c>
    </row>
    <row r="23" customFormat="false" ht="15" hidden="false" customHeight="false" outlineLevel="0" collapsed="false">
      <c r="A23" s="2" t="s">
        <v>22</v>
      </c>
    </row>
    <row r="24" customFormat="false" ht="15" hidden="false" customHeight="false" outlineLevel="0" collapsed="false">
      <c r="A24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</row>
    <row r="6" customFormat="false" ht="15" hidden="false" customHeight="false" outlineLevel="0" collapsed="false">
      <c r="A6" s="4" t="s">
        <v>8</v>
      </c>
    </row>
    <row r="7" customFormat="false" ht="15" hidden="false" customHeight="false" outlineLevel="0" collapsed="false">
      <c r="A7" s="5" t="s">
        <v>9</v>
      </c>
      <c r="B7" s="6" t="n">
        <v>76118</v>
      </c>
      <c r="C7" s="6" t="n">
        <v>80187</v>
      </c>
      <c r="D7" s="6" t="n">
        <v>82006</v>
      </c>
      <c r="E7" s="6" t="n">
        <v>84039</v>
      </c>
      <c r="F7" s="6" t="n">
        <v>84284</v>
      </c>
    </row>
    <row r="8" customFormat="false" ht="15" hidden="false" customHeight="false" outlineLevel="0" collapsed="false">
      <c r="A8" s="5" t="s">
        <v>26</v>
      </c>
      <c r="B8" s="6" t="n">
        <v>39010</v>
      </c>
      <c r="C8" s="6" t="n">
        <v>38030</v>
      </c>
      <c r="D8" s="6" t="n">
        <v>39246</v>
      </c>
      <c r="E8" s="6" t="n">
        <v>43191</v>
      </c>
      <c r="F8" s="6" t="n">
        <v>43120</v>
      </c>
    </row>
    <row r="9" customFormat="false" ht="15" hidden="false" customHeight="false" outlineLevel="0" collapsed="false">
      <c r="A9" s="5" t="s">
        <v>27</v>
      </c>
      <c r="B9" s="6" t="n">
        <v>18000</v>
      </c>
      <c r="C9" s="6" t="n">
        <v>17800</v>
      </c>
      <c r="D9" s="6" t="n">
        <v>18100</v>
      </c>
      <c r="E9" s="6" t="n">
        <v>18500</v>
      </c>
      <c r="F9" s="6" t="n">
        <v>20500</v>
      </c>
    </row>
    <row r="10" customFormat="false" ht="15" hidden="false" customHeight="false" outlineLevel="0" collapsed="false">
      <c r="A10" s="5" t="s">
        <v>28</v>
      </c>
      <c r="B10" s="6" t="n">
        <v>14306</v>
      </c>
      <c r="C10" s="6" t="n">
        <v>14742</v>
      </c>
      <c r="D10" s="6" t="n">
        <v>14653</v>
      </c>
      <c r="E10" s="6" t="n">
        <v>14879</v>
      </c>
      <c r="F10" s="6" t="n">
        <v>15974</v>
      </c>
    </row>
    <row r="12" customFormat="false" ht="15" hidden="false" customHeight="false" outlineLevel="0" collapsed="false">
      <c r="A12" s="4" t="s">
        <v>12</v>
      </c>
    </row>
    <row r="13" customFormat="false" ht="15" hidden="false" customHeight="false" outlineLevel="0" collapsed="false">
      <c r="A13" s="5" t="s">
        <v>13</v>
      </c>
      <c r="B13" s="6" t="n">
        <v>5983</v>
      </c>
      <c r="C13" s="6" t="n">
        <v>6924</v>
      </c>
      <c r="D13" s="6" t="n">
        <v>7073</v>
      </c>
      <c r="E13" s="6" t="n">
        <v>7016</v>
      </c>
      <c r="F13" s="6" t="n">
        <v>7551</v>
      </c>
    </row>
    <row r="14" customFormat="false" ht="15" hidden="false" customHeight="false" outlineLevel="0" collapsed="false">
      <c r="A14" s="5" t="s">
        <v>14</v>
      </c>
      <c r="B14" s="6" t="n">
        <v>23091</v>
      </c>
      <c r="C14" s="6" t="n">
        <v>21653</v>
      </c>
      <c r="D14" s="6" t="n">
        <v>22648</v>
      </c>
      <c r="E14" s="6" t="n">
        <v>24709</v>
      </c>
      <c r="F14" s="6" t="n">
        <v>25392</v>
      </c>
    </row>
    <row r="15" customFormat="false" ht="15" hidden="false" customHeight="false" outlineLevel="0" collapsed="false">
      <c r="A15" s="5" t="s">
        <v>15</v>
      </c>
      <c r="B15" s="6" t="n">
        <v>119307</v>
      </c>
      <c r="C15" s="6" t="n">
        <v>117208</v>
      </c>
      <c r="D15" s="6" t="n">
        <v>120829</v>
      </c>
      <c r="E15" s="6" t="n">
        <v>122370</v>
      </c>
      <c r="F15" s="6" t="n">
        <v>125231</v>
      </c>
    </row>
    <row r="16" customFormat="false" ht="15" hidden="false" customHeight="false" outlineLevel="0" collapsed="false">
      <c r="A16" s="5" t="s">
        <v>16</v>
      </c>
      <c r="B16" s="6" t="n">
        <v>33132</v>
      </c>
      <c r="C16" s="6" t="n">
        <v>33081</v>
      </c>
      <c r="D16" s="6" t="n">
        <v>35756</v>
      </c>
      <c r="E16" s="6" t="n">
        <v>33627</v>
      </c>
      <c r="F16" s="6" t="n">
        <v>36058</v>
      </c>
    </row>
    <row r="17" customFormat="false" ht="15" hidden="false" customHeight="false" outlineLevel="0" collapsed="false">
      <c r="A17" s="5" t="s">
        <v>17</v>
      </c>
      <c r="B17" s="6" t="n">
        <v>72653</v>
      </c>
      <c r="C17" s="6" t="n">
        <v>70354</v>
      </c>
      <c r="D17" s="6" t="n">
        <v>73764</v>
      </c>
      <c r="E17" s="6" t="n">
        <v>71811</v>
      </c>
      <c r="F17" s="6" t="n">
        <v>72946</v>
      </c>
    </row>
    <row r="18" customFormat="false" ht="15" hidden="false" customHeight="false" outlineLevel="0" collapsed="false">
      <c r="A18" s="5" t="s">
        <v>18</v>
      </c>
      <c r="B18" s="6" t="n">
        <v>46654</v>
      </c>
      <c r="C18" s="6" t="n">
        <v>46854</v>
      </c>
      <c r="D18" s="6" t="n">
        <v>47065</v>
      </c>
      <c r="E18" s="6" t="n">
        <v>50559</v>
      </c>
      <c r="F18" s="6" t="n">
        <v>52284</v>
      </c>
    </row>
    <row r="20" customFormat="false" ht="15" hidden="false" customHeight="false" outlineLevel="0" collapsed="false">
      <c r="A20" s="4" t="s">
        <v>19</v>
      </c>
    </row>
    <row r="21" customFormat="false" ht="15" hidden="false" customHeight="false" outlineLevel="0" collapsed="false">
      <c r="A21" s="5" t="s">
        <v>20</v>
      </c>
      <c r="B21" s="6" t="n">
        <v>18371</v>
      </c>
      <c r="C21" s="6" t="n">
        <v>16723</v>
      </c>
      <c r="D21" s="6" t="n">
        <v>16848</v>
      </c>
      <c r="E21" s="6" t="n">
        <v>19846</v>
      </c>
      <c r="F21" s="6" t="n">
        <v>17817</v>
      </c>
    </row>
    <row r="22" customFormat="false" ht="15" hidden="false" customHeight="false" outlineLevel="0" collapsed="false">
      <c r="A22" s="5" t="s">
        <v>21</v>
      </c>
      <c r="B22" s="6" t="n">
        <v>15584</v>
      </c>
      <c r="C22" s="6" t="n">
        <v>13567</v>
      </c>
      <c r="D22" s="6" t="n">
        <v>13786</v>
      </c>
      <c r="E22" s="6" t="n">
        <v>16524</v>
      </c>
      <c r="F22" s="6" t="n">
        <v>14044</v>
      </c>
    </row>
    <row r="24" customFormat="false" ht="15" hidden="false" customHeight="false" outlineLevel="0" collapsed="false">
      <c r="A24" s="2" t="s">
        <v>29</v>
      </c>
    </row>
    <row r="25" customFormat="false" ht="15" hidden="false" customHeight="false" outlineLevel="0" collapsed="false">
      <c r="A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6.85" hidden="false" customHeight="false" outlineLevel="0" collapsed="false">
      <c r="A4" s="8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</row>
    <row r="6" customFormat="false" ht="15" hidden="false" customHeight="false" outlineLevel="0" collapsed="false">
      <c r="A6" s="4" t="s">
        <v>44</v>
      </c>
    </row>
    <row r="7" customFormat="false" ht="15" hidden="false" customHeight="false" outlineLevel="0" collapsed="false">
      <c r="A7" s="5" t="s">
        <v>45</v>
      </c>
      <c r="B7" s="10" t="n">
        <f aca="false">Raw_Data_HUL!B13/Raw_Data_HUL!B15</f>
        <v>1.28046473925966</v>
      </c>
      <c r="C7" s="10" t="n">
        <f aca="false">Raw_Data_HUL!C13/Raw_Data_HUL!C15</f>
        <v>1.37606382978723</v>
      </c>
      <c r="D7" s="10" t="n">
        <f aca="false">Raw_Data_HUL!D13/Raw_Data_HUL!D15</f>
        <v>1.41320252743598</v>
      </c>
      <c r="E7" s="10" t="n">
        <f aca="false">Raw_Data_HUL!E13/Raw_Data_HUL!E15</f>
        <v>1.65571861169345</v>
      </c>
      <c r="F7" s="10" t="n">
        <f aca="false">Raw_Data_HUL!F13/Raw_Data_HUL!F15</f>
        <v>1.33343411743363</v>
      </c>
      <c r="G7" s="10" t="n">
        <f aca="false">Raw_Data_PG!B14/Raw_Data_PG!B16</f>
        <v>0.696939514668598</v>
      </c>
      <c r="H7" s="10" t="n">
        <f aca="false">Raw_Data_PG!C14/Raw_Data_PG!C16</f>
        <v>0.654544904930323</v>
      </c>
      <c r="I7" s="10" t="n">
        <f aca="false">Raw_Data_PG!D14/Raw_Data_PG!D16</f>
        <v>0.633404183913189</v>
      </c>
      <c r="J7" s="10" t="n">
        <f aca="false">Raw_Data_PG!E14/Raw_Data_PG!E16</f>
        <v>0.734796443334225</v>
      </c>
      <c r="K7" s="10" t="n">
        <f aca="false">Raw_Data_PG!F14/Raw_Data_PG!F16</f>
        <v>0.704198790836985</v>
      </c>
    </row>
    <row r="9" customFormat="false" ht="15" hidden="false" customHeight="false" outlineLevel="0" collapsed="false">
      <c r="A9" s="4" t="s">
        <v>46</v>
      </c>
    </row>
    <row r="10" customFormat="false" ht="15" hidden="false" customHeight="false" outlineLevel="0" collapsed="false">
      <c r="A10" s="5" t="s">
        <v>47</v>
      </c>
      <c r="B10" s="11" t="n">
        <f aca="false">Raw_Data_HUL!B8/Raw_Data_HUL!B7</f>
        <v>0.247214425448669</v>
      </c>
      <c r="C10" s="11" t="n">
        <f aca="false">Raw_Data_HUL!C8/Raw_Data_HUL!C7</f>
        <v>0.245147389696068</v>
      </c>
      <c r="D10" s="11" t="n">
        <f aca="false">Raw_Data_HUL!D8/Raw_Data_HUL!D7</f>
        <v>0.233525916143942</v>
      </c>
      <c r="E10" s="11" t="n">
        <f aca="false">Raw_Data_HUL!E8/Raw_Data_HUL!E7</f>
        <v>0.23683275171255</v>
      </c>
      <c r="F10" s="11" t="n">
        <f aca="false">Raw_Data_HUL!F8/Raw_Data_HUL!F7</f>
        <v>0.239662144534307</v>
      </c>
      <c r="G10" s="11" t="n">
        <f aca="false">Raw_Data_PG!B9/Raw_Data_PG!B7</f>
        <v>0.236474946793137</v>
      </c>
      <c r="H10" s="11" t="n">
        <f aca="false">Raw_Data_PG!C9/Raw_Data_PG!C7</f>
        <v>0.221981119134024</v>
      </c>
      <c r="I10" s="11" t="n">
        <f aca="false">Raw_Data_PG!D9/Raw_Data_PG!D7</f>
        <v>0.220715557398239</v>
      </c>
      <c r="J10" s="11" t="n">
        <f aca="false">Raw_Data_PG!E9/Raw_Data_PG!E7</f>
        <v>0.220135889289497</v>
      </c>
      <c r="K10" s="11" t="n">
        <f aca="false">Raw_Data_PG!F9/Raw_Data_PG!F7</f>
        <v>0.243225285938019</v>
      </c>
    </row>
    <row r="11" customFormat="false" ht="15" hidden="false" customHeight="false" outlineLevel="0" collapsed="false">
      <c r="A11" s="5" t="s">
        <v>48</v>
      </c>
      <c r="B11" s="11" t="n">
        <f aca="false">Raw_Data_HUL!B9/Raw_Data_HUL!B7</f>
        <v>0.17009015905418</v>
      </c>
      <c r="C11" s="11" t="n">
        <f aca="false">Raw_Data_HUL!C9/Raw_Data_HUL!C7</f>
        <v>0.169545818556229</v>
      </c>
      <c r="D11" s="11" t="n">
        <f aca="false">Raw_Data_HUL!D9/Raw_Data_HUL!D7</f>
        <v>0.167431495543084</v>
      </c>
      <c r="E11" s="11" t="n">
        <f aca="false">Raw_Data_HUL!E9/Raw_Data_HUL!E7</f>
        <v>0.166117358149153</v>
      </c>
      <c r="F11" s="11" t="n">
        <f aca="false">Raw_Data_HUL!F9/Raw_Data_HUL!F7</f>
        <v>0.173998825984868</v>
      </c>
      <c r="G11" s="11" t="n">
        <f aca="false">Raw_Data_PG!B10/Raw_Data_PG!B7</f>
        <v>0.187945032712368</v>
      </c>
      <c r="H11" s="11" t="n">
        <f aca="false">Raw_Data_PG!C10/Raw_Data_PG!C7</f>
        <v>0.183845261700774</v>
      </c>
      <c r="I11" s="11" t="n">
        <f aca="false">Raw_Data_PG!D10/Raw_Data_PG!D7</f>
        <v>0.17868204765505</v>
      </c>
      <c r="J11" s="11" t="n">
        <f aca="false">Raw_Data_PG!E10/Raw_Data_PG!E7</f>
        <v>0.17704875117505</v>
      </c>
      <c r="K11" s="11" t="n">
        <f aca="false">Raw_Data_PG!F10/Raw_Data_PG!F7</f>
        <v>0.189525888662142</v>
      </c>
    </row>
    <row r="12" customFormat="false" ht="15" hidden="false" customHeight="false" outlineLevel="0" collapsed="false">
      <c r="A12" s="5" t="s">
        <v>49</v>
      </c>
      <c r="B12" s="11" t="n">
        <f aca="false">Raw_Data_HUL!B9/Raw_Data_HUL!B14</f>
        <v>0.116366016875182</v>
      </c>
      <c r="C12" s="11" t="n">
        <f aca="false">Raw_Data_HUL!C9/Raw_Data_HUL!C14</f>
        <v>0.126116926219045</v>
      </c>
      <c r="D12" s="11" t="n">
        <f aca="false">Raw_Data_HUL!D9/Raw_Data_HUL!D14</f>
        <v>0.13879880126442</v>
      </c>
      <c r="E12" s="11" t="n">
        <f aca="false">Raw_Data_HUL!E9/Raw_Data_HUL!E14</f>
        <v>0.13099924830231</v>
      </c>
      <c r="F12" s="11" t="n">
        <f aca="false">Raw_Data_HUL!F9/Raw_Data_HUL!F14</f>
        <v>0.13361631794448</v>
      </c>
      <c r="G12" s="11" t="n">
        <f aca="false">Raw_Data_PG!B10/Raw_Data_PG!B15</f>
        <v>0.119909141961494</v>
      </c>
      <c r="H12" s="11" t="n">
        <f aca="false">Raw_Data_PG!C10/Raw_Data_PG!C15</f>
        <v>0.125776397515528</v>
      </c>
      <c r="I12" s="11" t="n">
        <f aca="false">Raw_Data_PG!D10/Raw_Data_PG!D15</f>
        <v>0.121270555909591</v>
      </c>
      <c r="J12" s="11" t="n">
        <f aca="false">Raw_Data_PG!E10/Raw_Data_PG!E15</f>
        <v>0.121590259050421</v>
      </c>
      <c r="K12" s="11" t="n">
        <f aca="false">Raw_Data_PG!F10/Raw_Data_PG!F15</f>
        <v>0.127556276001948</v>
      </c>
    </row>
    <row r="13" customFormat="false" ht="15" hidden="false" customHeight="false" outlineLevel="0" collapsed="false">
      <c r="A13" s="5" t="s">
        <v>50</v>
      </c>
      <c r="B13" s="11" t="n">
        <f aca="false">Raw_Data_HUL!B9/Raw_Data_HUL!B17</f>
        <v>0.167785375676469</v>
      </c>
      <c r="C13" s="11" t="n">
        <f aca="false">Raw_Data_HUL!C9/Raw_Data_HUL!C17</f>
        <v>0.181243757770938</v>
      </c>
      <c r="D13" s="11" t="n">
        <f aca="false">Raw_Data_HUL!D9/Raw_Data_HUL!D17</f>
        <v>0.201634064885496</v>
      </c>
      <c r="E13" s="11" t="n">
        <f aca="false">Raw_Data_HUL!E9/Raw_Data_HUL!E17</f>
        <v>0.20074973642079</v>
      </c>
      <c r="F13" s="11" t="n">
        <f aca="false">Raw_Data_HUL!F9/Raw_Data_HUL!F17</f>
        <v>0.216003400672038</v>
      </c>
      <c r="G13" s="11" t="n">
        <f aca="false">Raw_Data_PG!B10/Raw_Data_PG!B18</f>
        <v>0.30664037381575</v>
      </c>
      <c r="H13" s="11" t="n">
        <f aca="false">Raw_Data_PG!C10/Raw_Data_PG!C18</f>
        <v>0.314636957356896</v>
      </c>
      <c r="I13" s="11" t="n">
        <f aca="false">Raw_Data_PG!D10/Raw_Data_PG!D18</f>
        <v>0.311335387230426</v>
      </c>
      <c r="J13" s="11" t="n">
        <f aca="false">Raw_Data_PG!E10/Raw_Data_PG!E18</f>
        <v>0.294289839593346</v>
      </c>
      <c r="K13" s="11" t="n">
        <f aca="false">Raw_Data_PG!F10/Raw_Data_PG!F18</f>
        <v>0.305523678371969</v>
      </c>
    </row>
    <row r="15" customFormat="false" ht="15" hidden="false" customHeight="false" outlineLevel="0" collapsed="false">
      <c r="A15" s="4" t="s">
        <v>51</v>
      </c>
    </row>
    <row r="16" customFormat="false" ht="15" hidden="false" customHeight="false" outlineLevel="0" collapsed="false">
      <c r="A16" s="5" t="s">
        <v>52</v>
      </c>
      <c r="B16" s="10" t="n">
        <f aca="false">Raw_Data_HUL!B16/Raw_Data_HUL!B17</f>
        <v>0.441876075009439</v>
      </c>
      <c r="C16" s="10" t="n">
        <f aca="false">Raw_Data_HUL!C16/Raw_Data_HUL!C17</f>
        <v>0.437108905240415</v>
      </c>
      <c r="D16" s="10" t="n">
        <f aca="false">Raw_Data_HUL!D16/Raw_Data_HUL!D17</f>
        <v>0.452707538167939</v>
      </c>
      <c r="E16" s="10" t="n">
        <f aca="false">Raw_Data_HUL!E16/Raw_Data_HUL!E17</f>
        <v>0.532449529462298</v>
      </c>
      <c r="F16" s="10" t="n">
        <f aca="false">Raw_Data_HUL!F16/Raw_Data_HUL!F17</f>
        <v>0.61659446985952</v>
      </c>
      <c r="G16" s="10" t="n">
        <f aca="false">Raw_Data_PG!B17/Raw_Data_PG!B18</f>
        <v>1.55727268830111</v>
      </c>
      <c r="H16" s="10" t="n">
        <f aca="false">Raw_Data_PG!C17/Raw_Data_PG!C18</f>
        <v>1.50155803133137</v>
      </c>
      <c r="I16" s="10" t="n">
        <f aca="false">Raw_Data_PG!D17/Raw_Data_PG!D18</f>
        <v>1.56727929459258</v>
      </c>
      <c r="J16" s="10" t="n">
        <f aca="false">Raw_Data_PG!E17/Raw_Data_PG!E18</f>
        <v>1.42034059217943</v>
      </c>
      <c r="K16" s="10" t="n">
        <f aca="false">Raw_Data_PG!F17/Raw_Data_PG!F18</f>
        <v>1.3951878203657</v>
      </c>
    </row>
    <row r="17" customFormat="false" ht="15" hidden="false" customHeight="false" outlineLevel="0" collapsed="false">
      <c r="A17" s="5" t="s">
        <v>53</v>
      </c>
      <c r="B17" s="11" t="n">
        <f aca="false">Raw_Data_HUL!B17/Raw_Data_HUL!B14</f>
        <v>0.693540878673262</v>
      </c>
      <c r="C17" s="11" t="n">
        <f aca="false">Raw_Data_HUL!C17/Raw_Data_HUL!C14</f>
        <v>0.695841488667631</v>
      </c>
      <c r="D17" s="11" t="n">
        <f aca="false">Raw_Data_HUL!D17/Raw_Data_HUL!D14</f>
        <v>0.688369801715998</v>
      </c>
      <c r="E17" s="11" t="n">
        <f aca="false">Raw_Data_HUL!E17/Raw_Data_HUL!E14</f>
        <v>0.652550038858948</v>
      </c>
      <c r="F17" s="11" t="n">
        <f aca="false">Raw_Data_HUL!F17/Raw_Data_HUL!F14</f>
        <v>0.618584325657689</v>
      </c>
      <c r="G17" s="11" t="n">
        <f aca="false">Raw_Data_PG!B18/Raw_Data_PG!B15</f>
        <v>0.391041598565047</v>
      </c>
      <c r="H17" s="11" t="n">
        <f aca="false">Raw_Data_PG!C18/Raw_Data_PG!C15</f>
        <v>0.399750870247765</v>
      </c>
      <c r="I17" s="11" t="n">
        <f aca="false">Raw_Data_PG!D18/Raw_Data_PG!D15</f>
        <v>0.38951741717634</v>
      </c>
      <c r="J17" s="11" t="n">
        <f aca="false">Raw_Data_PG!E18/Raw_Data_PG!E15</f>
        <v>0.413164991419466</v>
      </c>
      <c r="K17" s="11" t="n">
        <f aca="false">Raw_Data_PG!F18/Raw_Data_PG!F15</f>
        <v>0.417500459151488</v>
      </c>
    </row>
    <row r="19" customFormat="false" ht="15" hidden="false" customHeight="false" outlineLevel="0" collapsed="false">
      <c r="A19" s="4" t="s">
        <v>54</v>
      </c>
    </row>
    <row r="20" customFormat="false" ht="15" hidden="false" customHeight="false" outlineLevel="0" collapsed="false">
      <c r="A20" s="5" t="s">
        <v>55</v>
      </c>
      <c r="B20" s="10" t="n">
        <f aca="false">Raw_Data_HUL!B7/Raw_Data_HUL!B14</f>
        <v>0.684143148094268</v>
      </c>
      <c r="C20" s="10" t="n">
        <f aca="false">Raw_Data_HUL!C7/Raw_Data_HUL!C14</f>
        <v>0.74385158709897</v>
      </c>
      <c r="D20" s="10" t="n">
        <f aca="false">Raw_Data_HUL!D7/Raw_Data_HUL!D14</f>
        <v>0.828988601064631</v>
      </c>
      <c r="E20" s="10" t="n">
        <f aca="false">Raw_Data_HUL!E7/Raw_Data_HUL!E14</f>
        <v>0.788594580132248</v>
      </c>
      <c r="F20" s="10" t="n">
        <f aca="false">Raw_Data_HUL!F7/Raw_Data_HUL!F14</f>
        <v>0.767915054530884</v>
      </c>
      <c r="G20" s="10" t="n">
        <f aca="false">Raw_Data_PG!B7/Raw_Data_PG!B15</f>
        <v>0.638001123152875</v>
      </c>
      <c r="H20" s="10" t="n">
        <f aca="false">Raw_Data_PG!C7/Raw_Data_PG!C15</f>
        <v>0.684142720633404</v>
      </c>
      <c r="I20" s="10" t="n">
        <f aca="false">Raw_Data_PG!D7/Raw_Data_PG!D15</f>
        <v>0.678694684223158</v>
      </c>
      <c r="J20" s="10" t="n">
        <f aca="false">Raw_Data_PG!E7/Raw_Data_PG!E15</f>
        <v>0.686761461142437</v>
      </c>
      <c r="K20" s="10" t="n">
        <f aca="false">Raw_Data_PG!F7/Raw_Data_PG!F15</f>
        <v>0.673028243805448</v>
      </c>
    </row>
    <row r="22" customFormat="false" ht="15" hidden="false" customHeight="false" outlineLevel="0" collapsed="false">
      <c r="A22" s="4" t="s">
        <v>56</v>
      </c>
    </row>
    <row r="23" customFormat="false" ht="15" hidden="false" customHeight="false" outlineLevel="0" collapsed="false">
      <c r="A23" s="5" t="s">
        <v>57</v>
      </c>
      <c r="B23" s="11" t="n">
        <f aca="false">Raw_Data_HUL!B21/Raw_Data_HUL!B7</f>
        <v>0.108382240367441</v>
      </c>
      <c r="C23" s="11" t="n">
        <f aca="false">Raw_Data_HUL!C21/Raw_Data_HUL!C7</f>
        <v>0.152442512298364</v>
      </c>
      <c r="D23" s="11" t="n">
        <f aca="false">Raw_Data_HUL!D21/Raw_Data_HUL!D7</f>
        <v>0.148233740508419</v>
      </c>
      <c r="E23" s="11" t="n">
        <f aca="false">Raw_Data_HUL!E21/Raw_Data_HUL!E7</f>
        <v>0.22637973374693</v>
      </c>
      <c r="F23" s="11" t="n">
        <f aca="false">Raw_Data_HUL!F21/Raw_Data_HUL!F7</f>
        <v>0.173232454996087</v>
      </c>
      <c r="G23" s="11" t="n">
        <f aca="false">Raw_Data_PG!B22/Raw_Data_PG!B7</f>
        <v>0.20473475393468</v>
      </c>
      <c r="H23" s="11" t="n">
        <f aca="false">Raw_Data_PG!C22/Raw_Data_PG!C7</f>
        <v>0.169192013668051</v>
      </c>
      <c r="I23" s="11" t="n">
        <f aca="false">Raw_Data_PG!D22/Raw_Data_PG!D7</f>
        <v>0.168109650513377</v>
      </c>
      <c r="J23" s="11" t="n">
        <f aca="false">Raw_Data_PG!E22/Raw_Data_PG!E7</f>
        <v>0.196622996465927</v>
      </c>
      <c r="K23" s="11" t="n">
        <f aca="false">Raw_Data_PG!F22/Raw_Data_PG!F7</f>
        <v>0.166627117839685</v>
      </c>
    </row>
    <row r="24" customFormat="false" ht="15" hidden="false" customHeight="false" outlineLevel="0" collapsed="false">
      <c r="A24" s="5" t="s">
        <v>58</v>
      </c>
      <c r="B24" s="10" t="n">
        <f aca="false">Raw_Data_HUL!B20/Raw_Data_HUL!B15</f>
        <v>0.825272448887688</v>
      </c>
      <c r="C24" s="10" t="n">
        <f aca="false">Raw_Data_HUL!C20/Raw_Data_HUL!C15</f>
        <v>0.802127659574468</v>
      </c>
      <c r="D24" s="10" t="n">
        <f aca="false">Raw_Data_HUL!D20/Raw_Data_HUL!D15</f>
        <v>0.830645161290323</v>
      </c>
      <c r="E24" s="10" t="n">
        <f aca="false">Raw_Data_HUL!E20/Raw_Data_HUL!E15</f>
        <v>1.20110257007532</v>
      </c>
      <c r="F24" s="10" t="n">
        <f aca="false">Raw_Data_HUL!F20/Raw_Data_HUL!F15</f>
        <v>0.718751889701881</v>
      </c>
      <c r="G24" s="10" t="n">
        <f aca="false">Raw_Data_PG!B21/Raw_Data_PG!B16</f>
        <v>0.554479053483038</v>
      </c>
      <c r="H24" s="10" t="n">
        <f aca="false">Raw_Data_PG!C21/Raw_Data_PG!C16</f>
        <v>0.505516761887488</v>
      </c>
      <c r="I24" s="10" t="n">
        <f aca="false">Raw_Data_PG!D21/Raw_Data_PG!D16</f>
        <v>0.47119364582168</v>
      </c>
      <c r="J24" s="10" t="n">
        <f aca="false">Raw_Data_PG!E21/Raw_Data_PG!E16</f>
        <v>0.59018050970946</v>
      </c>
      <c r="K24" s="10" t="n">
        <f aca="false">Raw_Data_PG!F21/Raw_Data_PG!F16</f>
        <v>0.494120583504354</v>
      </c>
    </row>
    <row r="26" customFormat="false" ht="15" hidden="false" customHeight="false" outlineLevel="0" collapsed="false">
      <c r="A26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45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9" t="s">
        <v>62</v>
      </c>
      <c r="B4" s="9" t="s">
        <v>63</v>
      </c>
      <c r="C4" s="9" t="s">
        <v>64</v>
      </c>
      <c r="D4" s="9" t="s">
        <v>65</v>
      </c>
    </row>
    <row r="5" customFormat="false" ht="60" hidden="false" customHeight="true" outlineLevel="0" collapsed="false">
      <c r="A5" s="12" t="s">
        <v>66</v>
      </c>
      <c r="B5" s="13" t="s">
        <v>67</v>
      </c>
      <c r="C5" s="13" t="s">
        <v>68</v>
      </c>
      <c r="D5" s="13" t="s">
        <v>69</v>
      </c>
    </row>
    <row r="6" customFormat="false" ht="60" hidden="false" customHeight="true" outlineLevel="0" collapsed="false">
      <c r="A6" s="12" t="s">
        <v>70</v>
      </c>
      <c r="B6" s="13" t="s">
        <v>71</v>
      </c>
      <c r="C6" s="13" t="s">
        <v>72</v>
      </c>
      <c r="D6" s="13" t="s">
        <v>73</v>
      </c>
    </row>
    <row r="7" customFormat="false" ht="60" hidden="false" customHeight="true" outlineLevel="0" collapsed="false">
      <c r="A7" s="12" t="s">
        <v>74</v>
      </c>
      <c r="B7" s="13" t="s">
        <v>75</v>
      </c>
      <c r="C7" s="13" t="s">
        <v>76</v>
      </c>
      <c r="D7" s="13" t="s">
        <v>77</v>
      </c>
    </row>
    <row r="8" customFormat="false" ht="60" hidden="false" customHeight="true" outlineLevel="0" collapsed="false">
      <c r="A8" s="12" t="s">
        <v>78</v>
      </c>
      <c r="B8" s="13" t="s">
        <v>79</v>
      </c>
      <c r="C8" s="13" t="s">
        <v>80</v>
      </c>
      <c r="D8" s="13" t="s">
        <v>81</v>
      </c>
    </row>
    <row r="9" customFormat="false" ht="60" hidden="false" customHeight="true" outlineLevel="0" collapsed="false">
      <c r="A9" s="12" t="s">
        <v>82</v>
      </c>
      <c r="B9" s="13" t="s">
        <v>83</v>
      </c>
      <c r="C9" s="13" t="s">
        <v>84</v>
      </c>
      <c r="D9" s="13" t="s">
        <v>85</v>
      </c>
    </row>
    <row r="11" customFormat="false" ht="15" hidden="false" customHeight="false" outlineLevel="0" collapsed="false">
      <c r="A11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2026-09-22T09:10:35Z</dcterms:created>
  <dc:creator>openpyxl</dc:creator>
  <dc:description/>
  <dc:language>en-US</dc:language>
  <cp:lastModifiedBy/>
  <dcterms:modified xsi:type="dcterms:W3CDTF">2026-09-22T09:10:35Z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